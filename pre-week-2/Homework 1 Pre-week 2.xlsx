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DataAnalytics-2026\pre-week-2\"/>
    </mc:Choice>
  </mc:AlternateContent>
  <xr:revisionPtr revIDLastSave="0" documentId="8_{9999450E-9C46-46A2-A1E3-6016C1576041}" xr6:coauthVersionLast="47" xr6:coauthVersionMax="47" xr10:uidLastSave="{00000000-0000-0000-0000-000000000000}"/>
  <bookViews>
    <workbookView xWindow="3540" yWindow="2880" windowWidth="28800" windowHeight="15345" xr2:uid="{751EEC58-CE82-47CC-8A34-FB2CB968C717}"/>
  </bookViews>
  <sheets>
    <sheet name="HW 1" sheetId="2" r:id="rId1"/>
    <sheet name="HW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2" i="1"/>
  <c r="B21" i="2"/>
  <c r="B20" i="2"/>
  <c r="B19" i="2"/>
  <c r="B18" i="2"/>
  <c r="B17" i="2"/>
  <c r="B16" i="2"/>
  <c r="B15" i="2"/>
  <c r="D5" i="1"/>
  <c r="D4" i="1"/>
  <c r="D3" i="1"/>
</calcChain>
</file>

<file path=xl/sharedStrings.xml><?xml version="1.0" encoding="utf-8"?>
<sst xmlns="http://schemas.openxmlformats.org/spreadsheetml/2006/main" count="39" uniqueCount="35">
  <si>
    <t>Store A</t>
  </si>
  <si>
    <t xml:space="preserve">Store 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</si>
  <si>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</si>
  <si>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</si>
  <si>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</si>
  <si>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</si>
  <si>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</si>
  <si>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</si>
  <si>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</si>
  <si>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</si>
  <si>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</si>
  <si>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</si>
  <si>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</si>
  <si>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Monthly sales</t>
  </si>
  <si>
    <t>Mean</t>
  </si>
  <si>
    <t>Median</t>
  </si>
  <si>
    <t>Mode</t>
  </si>
  <si>
    <t>Range</t>
  </si>
  <si>
    <t>Store</t>
  </si>
  <si>
    <t>Monthly Sales</t>
  </si>
  <si>
    <t>Store  1</t>
  </si>
  <si>
    <t>Store  2</t>
  </si>
  <si>
    <t>Store  3</t>
  </si>
  <si>
    <t>Store  4</t>
  </si>
  <si>
    <t>Store  5</t>
  </si>
  <si>
    <t>Store  6</t>
  </si>
  <si>
    <t>Store  7</t>
  </si>
  <si>
    <t>Store  8</t>
  </si>
  <si>
    <t>Store  9</t>
  </si>
  <si>
    <t>Store  10</t>
  </si>
  <si>
    <t>Store  11</t>
  </si>
  <si>
    <t>Store  12</t>
  </si>
  <si>
    <t>Minimum</t>
  </si>
  <si>
    <t>Maximum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</si>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</sst>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'HW 1'!$B$1</c:f>
              <c:strCache>
                <c:ptCount val="1"/>
                <c:pt idx="0">
                  <c:v>Monthly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'HW 1'!$A$2:$A$13</c:f>
              <c:strCache>
                <c:ptCount val="12"/>
                <c:pt idx="0">
                  <c:v>Store  1</c:v>
                </c:pt>
                <c:pt idx="1">
                  <c:v>Store  2</c:v>
                </c:pt>
                <c:pt idx="2">
                  <c:v>Store  3</c:v>
                </c:pt>
                <c:pt idx="3">
                  <c:v>Store  4</c:v>
                </c:pt>
                <c:pt idx="4">
                  <c:v>Store  5</c:v>
                </c:pt>
                <c:pt idx="5">
                  <c:v>Store  6</c:v>
                </c:pt>
                <c:pt idx="6">
                  <c:v>Store  7</c:v>
                </c:pt>
                <c:pt idx="7">
                  <c:v>Store  8</c:v>
                </c:pt>
                <c:pt idx="8">
                  <c:v>Store  9</c:v>
                </c:pt>
                <c:pt idx="9">
                  <c:v>Store  10</c:v>
                </c:pt>
                <c:pt idx="10">
                  <c:v>Store  11</c:v>
                </c:pt>
                <c:pt idx="11">
                  <c:v>Store  12</c:v>
                </c:pt>
              </c:strCache>
            </c:strRef>
          </c:cat>
          <c:val>
            <c:numRef>
              <c:f>'HW 1'!$B$2:$B$13</c:f>
              <c:numCache>
                <c:formatCode>General</c:formatCode>
                <c:ptCount val="12"/>
                <c:pt idx="0">
                  <c:v>42</c:v>
                </c:pt>
                <c:pt idx="1">
                  <c:v>38</c:v>
                </c:pt>
                <c:pt idx="2">
                  <c:v>47</c:v>
                </c:pt>
                <c:pt idx="3">
                  <c:v>36</c:v>
                </c:pt>
                <c:pt idx="4">
                  <c:v>41</c:v>
                </c:pt>
                <c:pt idx="5">
                  <c:v>39</c:v>
                </c:pt>
                <c:pt idx="6">
                  <c:v>44</c:v>
                </c:pt>
                <c:pt idx="7">
                  <c:v>40</c:v>
                </c:pt>
                <c:pt idx="8">
                  <c:v>37</c:v>
                </c:pt>
                <c:pt idx="9">
                  <c:v>43</c:v>
                </c:pt>
                <c:pt idx="10">
                  <c:v>42</c:v>
                </c:pt>
                <c:pt idx="1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C-4B53-B149-20C8A0E5F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141616"/>
        <c:axId val="783141976"/>
      </c:barChart>
      <c:catAx>
        <c:axId val="78314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41976"/>
        <c:crosses val="autoZero"/>
        <c:auto val="1"/>
        <c:lblAlgn val="ctr"/>
        <c:lblOffset val="100"/>
        <c:noMultiLvlLbl val="0"/>
      </c:catAx>
      <c:valAx>
        <c:axId val="78314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4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'HW 2'!$A$2:$A$13</c:f>
              <c:strCache>
                <c:ptCount val="12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  <c:pt idx="4">
                  <c:v>Store E</c:v>
                </c:pt>
                <c:pt idx="5">
                  <c:v>Store F</c:v>
                </c:pt>
                <c:pt idx="6">
                  <c:v>Store G</c:v>
                </c:pt>
                <c:pt idx="7">
                  <c:v>Store H</c:v>
                </c:pt>
                <c:pt idx="8">
                  <c:v>Store I</c:v>
                </c:pt>
                <c:pt idx="9">
                  <c:v>Store J</c:v>
                </c:pt>
                <c:pt idx="10">
                  <c:v>Store K</c:v>
                </c:pt>
                <c:pt idx="11">
                  <c:v>Store L</c:v>
                </c:pt>
              </c:strCache>
            </c:strRef>
          </c:cat>
          <c:val>
            <c:numRef>
              <c:f>'HW 2'!$B$2:$B$13</c:f>
              <c:numCache>
                <c:formatCode>General</c:formatCode>
                <c:ptCount val="12"/>
                <c:pt idx="0">
                  <c:v>51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52</c:v>
                </c:pt>
                <c:pt idx="5">
                  <c:v>47</c:v>
                </c:pt>
                <c:pt idx="6">
                  <c:v>45</c:v>
                </c:pt>
                <c:pt idx="7">
                  <c:v>72</c:v>
                </c:pt>
                <c:pt idx="8">
                  <c:v>43</c:v>
                </c:pt>
                <c:pt idx="9">
                  <c:v>48</c:v>
                </c:pt>
                <c:pt idx="10">
                  <c:v>46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C-4E03-BF3C-A74F99C4679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'HW 2'!$A$2:$A$13</c:f>
              <c:strCache>
                <c:ptCount val="12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  <c:pt idx="4">
                  <c:v>Store E</c:v>
                </c:pt>
                <c:pt idx="5">
                  <c:v>Store F</c:v>
                </c:pt>
                <c:pt idx="6">
                  <c:v>Store G</c:v>
                </c:pt>
                <c:pt idx="7">
                  <c:v>Store H</c:v>
                </c:pt>
                <c:pt idx="8">
                  <c:v>Store I</c:v>
                </c:pt>
                <c:pt idx="9">
                  <c:v>Store J</c:v>
                </c:pt>
                <c:pt idx="10">
                  <c:v>Store K</c:v>
                </c:pt>
                <c:pt idx="11">
                  <c:v>Store L</c:v>
                </c:pt>
              </c:strCache>
            </c:strRef>
          </c:cat>
          <c:val>
            <c:numRef>
              <c:f>'HW 2'!$C$2:$C$13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C-4E03-BF3C-A74F99C4679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'HW 2'!$A$2:$A$13</c:f>
              <c:strCache>
                <c:ptCount val="12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  <c:pt idx="4">
                  <c:v>Store E</c:v>
                </c:pt>
                <c:pt idx="5">
                  <c:v>Store F</c:v>
                </c:pt>
                <c:pt idx="6">
                  <c:v>Store G</c:v>
                </c:pt>
                <c:pt idx="7">
                  <c:v>Store H</c:v>
                </c:pt>
                <c:pt idx="8">
                  <c:v>Store I</c:v>
                </c:pt>
                <c:pt idx="9">
                  <c:v>Store J</c:v>
                </c:pt>
                <c:pt idx="10">
                  <c:v>Store K</c:v>
                </c:pt>
                <c:pt idx="11">
                  <c:v>Store L</c:v>
                </c:pt>
              </c:strCache>
            </c:strRef>
          </c:cat>
          <c:val>
            <c:numRef>
              <c:f>'HW 2'!$D$2:$D$13</c:f>
              <c:numCache>
                <c:formatCode>General</c:formatCode>
                <c:ptCount val="12"/>
                <c:pt idx="0">
                  <c:v>49.416666666666664</c:v>
                </c:pt>
                <c:pt idx="1">
                  <c:v>47.5</c:v>
                </c:pt>
                <c:pt idx="2">
                  <c:v>46</c:v>
                </c:pt>
                <c:pt idx="3">
                  <c:v>29</c:v>
                </c:pt>
                <c:pt idx="4">
                  <c:v>7.6331613054586773</c:v>
                </c:pt>
                <c:pt idx="5">
                  <c:v>2.9076701075853588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C-4E03-BF3C-A74F99C46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426632"/>
        <c:axId val="777420872"/>
      </c:barChart>
      <c:catAx>
        <c:axId val="77742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20872"/>
        <c:crosses val="autoZero"/>
        <c:auto val="1"/>
        <c:lblAlgn val="ctr"/>
        <c:lblOffset val="100"/>
        <c:noMultiLvlLbl val="0"/>
      </c:catAx>
      <c:valAx>
        <c:axId val="77742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2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276225</xdr:colOff>
      <xdr:row>20</xdr:row>
      <xdr:rowOff>52387</xdr:rowOff>
    </xdr:from>
    <xdr:to>
      <xdr:col>21</xdr:col>
      <xdr:colOff>581025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57D38-475C-E8BA-BD18-8D79CDA80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66675</xdr:colOff>
      <xdr:row>20</xdr:row>
      <xdr:rowOff>52387</xdr:rowOff>
    </xdr:from>
    <xdr:to>
      <xdr:col>22</xdr:col>
      <xdr:colOff>371475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71381-43FF-FF08-A5EE-540BC9439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3F88-DD73-4023-8928-17E1A9687748}">
  <dimension ref="A1:B21"/>
  <sheetViews>
    <sheetView tabSelected="1" workbookViewId="0">
      <selection sqref="A1:B13"/>
    </sheetView>
  </sheetViews>
  <sheetFormatPr defaultRowHeight="15" x14ac:dyDescent="0.25"/>
  <cols>
    <col min="1" max="1" width="18" bestFit="1" customWidth="1"/>
    <col min="2" max="2" width="13.2851562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>
        <v>42</v>
      </c>
    </row>
    <row r="3" spans="1:2" x14ac:dyDescent="0.25">
      <c r="A3" t="s">
        <v>21</v>
      </c>
      <c r="B3">
        <v>38</v>
      </c>
    </row>
    <row r="4" spans="1:2" x14ac:dyDescent="0.25">
      <c r="A4" t="s">
        <v>22</v>
      </c>
      <c r="B4">
        <v>47</v>
      </c>
    </row>
    <row r="5" spans="1:2" x14ac:dyDescent="0.25">
      <c r="A5" t="s">
        <v>23</v>
      </c>
      <c r="B5">
        <v>36</v>
      </c>
    </row>
    <row r="6" spans="1:2" x14ac:dyDescent="0.25">
      <c r="A6" t="s">
        <v>24</v>
      </c>
      <c r="B6">
        <v>41</v>
      </c>
    </row>
    <row r="7" spans="1:2" x14ac:dyDescent="0.25">
      <c r="A7" t="s">
        <v>25</v>
      </c>
      <c r="B7">
        <v>39</v>
      </c>
    </row>
    <row r="8" spans="1:2" x14ac:dyDescent="0.25">
      <c r="A8" t="s">
        <v>26</v>
      </c>
      <c r="B8">
        <v>44</v>
      </c>
    </row>
    <row r="9" spans="1:2" x14ac:dyDescent="0.25">
      <c r="A9" t="s">
        <v>27</v>
      </c>
      <c r="B9">
        <v>40</v>
      </c>
    </row>
    <row r="10" spans="1:2" x14ac:dyDescent="0.25">
      <c r="A10" t="s">
        <v>28</v>
      </c>
      <c r="B10">
        <v>37</v>
      </c>
    </row>
    <row r="11" spans="1:2" x14ac:dyDescent="0.25">
      <c r="A11" t="s">
        <v>29</v>
      </c>
      <c r="B11">
        <v>43</v>
      </c>
    </row>
    <row r="12" spans="1:2" x14ac:dyDescent="0.25">
      <c r="A12" t="s">
        <v>30</v>
      </c>
      <c r="B12">
        <v>42</v>
      </c>
    </row>
    <row r="13" spans="1:2" x14ac:dyDescent="0.25">
      <c r="A13" t="s">
        <v>31</v>
      </c>
      <c r="B13">
        <v>68</v>
      </c>
    </row>
    <row r="15" spans="1:2" x14ac:dyDescent="0.25">
      <c r="A15" t="s">
        <v>14</v>
      </c>
      <c r="B15">
        <f>AVERAGE(B2:B13)</f>
        <v>43.083333333333336</v>
      </c>
    </row>
    <row r="16" spans="1:2" x14ac:dyDescent="0.25">
      <c r="A16" t="s">
        <v>15</v>
      </c>
      <c r="B16">
        <f>MEDIAN(B2:B13)</f>
        <v>41.5</v>
      </c>
    </row>
    <row r="17" spans="1:2" x14ac:dyDescent="0.25">
      <c r="A17" t="s">
        <v>16</v>
      </c>
      <c r="B17">
        <f>_xlfn.MODE.SNGL(B2:B13)</f>
        <v>42</v>
      </c>
    </row>
    <row r="18" spans="1:2" x14ac:dyDescent="0.25">
      <c r="A18" t="s">
        <v>32</v>
      </c>
      <c r="B18">
        <f>MIN(B2:B13)</f>
        <v>36</v>
      </c>
    </row>
    <row r="19" spans="1:2" x14ac:dyDescent="0.25">
      <c r="A19" t="s">
        <v>33</v>
      </c>
      <c r="B19">
        <f>MAX(B2:B13)</f>
        <v>68</v>
      </c>
    </row>
    <row r="20" spans="1:2" x14ac:dyDescent="0.25">
      <c r="A20" t="s">
        <v>17</v>
      </c>
      <c r="B20">
        <f>MAX(B2:B13)-MIN(B2:B13)</f>
        <v>32</v>
      </c>
    </row>
    <row r="21" spans="1:2" x14ac:dyDescent="0.25">
      <c r="A21" t="s">
        <v>34</v>
      </c>
      <c r="B21">
        <f>_xlfn.STDEV.S(B2:B13)</f>
        <v>8.4364828230870312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2770-7E20-4A2D-B8EC-3B4EF3E8AE2C}">
  <dimension ref="A1:D13"/>
  <sheetViews>
    <sheetView workbookViewId="0">
      <selection activeCell="A2" sqref="A2:D13"/>
    </sheetView>
  </sheetViews>
  <sheetFormatPr defaultRowHeight="15" x14ac:dyDescent="0.25"/>
  <cols>
    <col min="2" max="2" width="13.28515625" bestFit="1" customWidth="1"/>
    <col min="4" max="4" width="12" bestFit="1" customWidth="1"/>
  </cols>
  <sheetData>
    <row r="1" spans="1:4" x14ac:dyDescent="0.25">
      <c r="A1" t="s">
        <v>1</v>
      </c>
      <c r="B1" t="s">
        <v>13</v>
      </c>
    </row>
    <row r="2" spans="1:4" x14ac:dyDescent="0.25">
      <c r="A2" t="s">
        <v>0</v>
      </c>
      <c r="B2">
        <v>51</v>
      </c>
      <c r="C2" t="s">
        <v>14</v>
      </c>
      <c r="D2">
        <f>AVERAGE(B2:B13)</f>
        <v>49.416666666666664</v>
      </c>
    </row>
    <row r="3" spans="1:4" x14ac:dyDescent="0.25">
      <c r="A3" t="s">
        <v>2</v>
      </c>
      <c r="B3">
        <v>44</v>
      </c>
      <c r="C3" t="s">
        <v>15</v>
      </c>
      <c r="D3">
        <f>MEDIAN(B2:B13)</f>
        <v>47.5</v>
      </c>
    </row>
    <row r="4" spans="1:4" x14ac:dyDescent="0.25">
      <c r="A4" t="s">
        <v>3</v>
      </c>
      <c r="B4">
        <v>49</v>
      </c>
      <c r="C4" t="s">
        <v>16</v>
      </c>
      <c r="D4">
        <f>_xlfn.MODE.SNGL(B2:B13)</f>
        <v>46</v>
      </c>
    </row>
    <row r="5" spans="1:4" x14ac:dyDescent="0.25">
      <c r="A5" t="s">
        <v>4</v>
      </c>
      <c r="B5">
        <v>46</v>
      </c>
      <c r="C5" t="s">
        <v>17</v>
      </c>
      <c r="D5">
        <f>MAX(B2:B13)-MIN(B2:B13)</f>
        <v>29</v>
      </c>
    </row>
    <row r="6" spans="1:4" x14ac:dyDescent="0.25">
      <c r="A6" t="s">
        <v>5</v>
      </c>
      <c r="B6">
        <v>52</v>
      </c>
      <c r="D6">
        <f>_xlfn.STDEV.S(B2:B13)</f>
        <v>7.6331613054586773</v>
      </c>
    </row>
    <row r="7" spans="1:4" x14ac:dyDescent="0.25">
      <c r="A7" t="s">
        <v>6</v>
      </c>
      <c r="B7">
        <v>47</v>
      </c>
      <c r="D7">
        <f>_xlfn.STDEV.S(B2,B3,B4,B5,B6,B7,B8,B10,B11,B12,B13)</f>
        <v>2.9076701075853588</v>
      </c>
    </row>
    <row r="8" spans="1:4" x14ac:dyDescent="0.25">
      <c r="A8" t="s">
        <v>7</v>
      </c>
      <c r="B8">
        <v>45</v>
      </c>
    </row>
    <row r="9" spans="1:4" x14ac:dyDescent="0.25">
      <c r="A9" t="s">
        <v>8</v>
      </c>
      <c r="B9">
        <v>72</v>
      </c>
    </row>
    <row r="10" spans="1:4" x14ac:dyDescent="0.25">
      <c r="A10" t="s">
        <v>9</v>
      </c>
      <c r="B10">
        <v>43</v>
      </c>
    </row>
    <row r="11" spans="1:4" x14ac:dyDescent="0.25">
      <c r="A11" t="s">
        <v>10</v>
      </c>
      <c r="B11">
        <v>48</v>
      </c>
    </row>
    <row r="12" spans="1:4" x14ac:dyDescent="0.25">
      <c r="A12" t="s">
        <v>11</v>
      </c>
      <c r="B12">
        <v>46</v>
      </c>
    </row>
    <row r="13" spans="1:4" x14ac:dyDescent="0.25">
      <c r="A13" t="s">
        <v>12</v>
      </c>
      <c r="B13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 1</vt:lpstr>
      <vt:lpstr>HW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Green-Holloway, Patrick</dc:creator>
  <cp:lastModifiedBy>Green-Holloway, Patrick</cp:lastModifiedBy>
  <dcterms:created xsi:type="dcterms:W3CDTF">2026-03-26T20:38:34Z</dcterms:created>
  <dcterms:modified xsi:type="dcterms:W3CDTF">2026-03-26T23:47:29Z</dcterms:modified>
</cp:coreProperties>
</file>