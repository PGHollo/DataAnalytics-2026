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cuments\"/>
    </mc:Choice>
  </mc:AlternateContent>
  <xr:revisionPtr revIDLastSave="0" documentId="13_ncr:1_{C787D0AC-C0CB-416D-B0C1-F6E4621C3ADF}" xr6:coauthVersionLast="47" xr6:coauthVersionMax="47" xr10:uidLastSave="{00000000-0000-0000-0000-000000000000}"/>
  <bookViews>
    <workbookView xWindow="3240" yWindow="3510" windowWidth="21045" windowHeight="13290" activeTab="8" xr2:uid="{77039ED5-58E9-46A2-BF20-4ECA5689B4A0}"/>
  </bookViews>
  <sheets>
    <sheet name="4.B.1" sheetId="1" r:id="rId1"/>
    <sheet name="4.B.2" sheetId="2" r:id="rId2"/>
    <sheet name="4.B.3" sheetId="3" r:id="rId3"/>
    <sheet name="4.B.4" sheetId="4" r:id="rId4"/>
    <sheet name="4.B.6" sheetId="5" r:id="rId5"/>
    <sheet name="4.B.11" sheetId="6" r:id="rId6"/>
    <sheet name="4.B.11B" sheetId="9" r:id="rId7"/>
    <sheet name="4.B.12" sheetId="7" r:id="rId8"/>
    <sheet name="4.B.14" sheetId="8" r:id="rId9"/>
  </sheets>
  <definedNames>
    <definedName name="_xlnm._FilterDatabase" localSheetId="8" hidden="1">'4.B.14'!$A$1:$E$11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7" l="1"/>
  <c r="G4" i="7"/>
  <c r="G5" i="7"/>
  <c r="G6" i="7"/>
  <c r="G7" i="7"/>
  <c r="G8" i="7"/>
  <c r="G9" i="7"/>
  <c r="G2" i="7"/>
  <c r="H3" i="7"/>
  <c r="H4" i="7"/>
  <c r="H5" i="7"/>
  <c r="H6" i="7"/>
  <c r="H7" i="7"/>
  <c r="H8" i="7"/>
  <c r="H9" i="7"/>
  <c r="H2" i="7"/>
  <c r="E3" i="9" a="1"/>
  <c r="E3" i="9" s="1"/>
  <c r="E4" i="9" a="1"/>
  <c r="E4" i="9" s="1"/>
  <c r="E5" i="9" a="1"/>
  <c r="E5" i="9" s="1"/>
  <c r="E6" i="9" a="1"/>
  <c r="E6" i="9" s="1"/>
  <c r="E7" i="9" a="1"/>
  <c r="E7" i="9" s="1"/>
  <c r="E8" i="9" a="1"/>
  <c r="E8" i="9" s="1"/>
  <c r="E9" i="9" a="1"/>
  <c r="E9" i="9" s="1"/>
  <c r="E2" i="9" a="1"/>
  <c r="E2" i="9" s="1"/>
  <c r="E3" i="6"/>
  <c r="E4" i="6"/>
  <c r="E5" i="6"/>
  <c r="E6" i="6"/>
  <c r="E7" i="6"/>
  <c r="E8" i="6"/>
  <c r="E9" i="6"/>
  <c r="E2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<sst xmlns="http://schemas.openxmlformats.org/spreadsheetml/2006/main" count="272" uniqueCount="113">
  <si>
    <t>Order ID</t>
  </si>
  <si>
    <t>Customer Name</t>
  </si>
  <si>
    <t>Product Category</t>
  </si>
  <si>
    <t>Units Sold</t>
  </si>
  <si>
    <t>Unit Price</t>
  </si>
  <si>
    <t>Order Date</t>
  </si>
  <si>
    <t>Discount Applied</t>
  </si>
  <si>
    <t>Total Sale</t>
  </si>
  <si>
    <t>Priority Order</t>
  </si>
  <si>
    <t>Maria Lopez</t>
  </si>
  <si>
    <t>Electronics</t>
  </si>
  <si>
    <t>Yes</t>
  </si>
  <si>
    <t>James Carter</t>
  </si>
  <si>
    <t>Clothing</t>
  </si>
  <si>
    <t>No</t>
  </si>
  <si>
    <t>Li Chen</t>
  </si>
  <si>
    <t>Home Appliances</t>
  </si>
  <si>
    <t>Sarah Ahmed</t>
  </si>
  <si>
    <t>David Smith</t>
  </si>
  <si>
    <t>Furniture</t>
  </si>
  <si>
    <t>Ana Rodriguez</t>
  </si>
  <si>
    <t>Michael Brown</t>
  </si>
  <si>
    <t>Emily Davis</t>
  </si>
  <si>
    <t>Month</t>
  </si>
  <si>
    <t>Appliances</t>
  </si>
  <si>
    <t>January</t>
  </si>
  <si>
    <t>February</t>
  </si>
  <si>
    <t>March</t>
  </si>
  <si>
    <t>April</t>
  </si>
  <si>
    <t>May</t>
  </si>
  <si>
    <t>Product</t>
  </si>
  <si>
    <t>Laptop</t>
  </si>
  <si>
    <t>Jacket</t>
  </si>
  <si>
    <t>Microwave</t>
  </si>
  <si>
    <t>Smartphone</t>
  </si>
  <si>
    <t>Desk</t>
  </si>
  <si>
    <t>Shoes</t>
  </si>
  <si>
    <t>Tablet</t>
  </si>
  <si>
    <t>Blender</t>
  </si>
  <si>
    <t>Customer Info</t>
  </si>
  <si>
    <t>Employee ID</t>
  </si>
  <si>
    <t>Employee Name</t>
  </si>
  <si>
    <t>Region Code</t>
  </si>
  <si>
    <t>Monthly Sales ($)</t>
  </si>
  <si>
    <t>E101</t>
  </si>
  <si>
    <t>E</t>
  </si>
  <si>
    <t>E102</t>
  </si>
  <si>
    <t>W</t>
  </si>
  <si>
    <t>E103</t>
  </si>
  <si>
    <t>N</t>
  </si>
  <si>
    <t>E104</t>
  </si>
  <si>
    <t>S</t>
  </si>
  <si>
    <t>E105</t>
  </si>
  <si>
    <t>E106</t>
  </si>
  <si>
    <t>E107</t>
  </si>
  <si>
    <t>E108</t>
  </si>
  <si>
    <t>Department</t>
  </si>
  <si>
    <t>Monthly Sales</t>
  </si>
  <si>
    <t>Salesperson</t>
  </si>
  <si>
    <t>Region</t>
  </si>
  <si>
    <t>Sales Amount</t>
  </si>
  <si>
    <t>East</t>
  </si>
  <si>
    <t>West</t>
  </si>
  <si>
    <t>North</t>
  </si>
  <si>
    <t>South</t>
  </si>
  <si>
    <t>Daniel Kim</t>
  </si>
  <si>
    <t>Olivia Martin</t>
  </si>
  <si>
    <t>Column Heading</t>
  </si>
  <si>
    <t>Data Type</t>
  </si>
  <si>
    <t>Customer
Name</t>
  </si>
  <si>
    <t>Product 
Category</t>
  </si>
  <si>
    <t>Unit Sold</t>
  </si>
  <si>
    <t>Discount
Applied</t>
  </si>
  <si>
    <t>Total 
Sale</t>
  </si>
  <si>
    <t>Refer to the cell range L2: R2. Complete by adding the data type of each column heading.
 Example add the data type of Order ID in cell L3</t>
  </si>
  <si>
    <t>Tasks to complete</t>
  </si>
  <si>
    <t>1. Convert Units Sold to Numbers
2. Convert Unit Price to Currency
3. Convert Order Date to Date Format
3. Recalculate Total Sale</t>
  </si>
  <si>
    <t>Task to complete</t>
  </si>
  <si>
    <t>Tasks to complete: Remove duplicates</t>
  </si>
  <si>
    <t>Task 1: Identify Duplicates Records</t>
  </si>
  <si>
    <t>Task 2: Remove Duplicates</t>
  </si>
  <si>
    <t>Column A contains two pieces of information seperated by a comma</t>
  </si>
  <si>
    <t>Assume the sales target is $10,000</t>
  </si>
  <si>
    <t>Student will add Employee Name and Department using VLOOKUP</t>
  </si>
  <si>
    <t>Enable Filtering</t>
  </si>
  <si>
    <t>1. Filter by Product Category
2. Filter by Region
3. Filter by Sales Amount</t>
  </si>
  <si>
    <t>Transpose by using months as column headings, and Category as row identifers
Copy Dell Range A1:E6. Click cell A10. Use Paste Special &gt; Transpose</t>
  </si>
  <si>
    <t>1. Select the entire dataset A1:E11
2. Go to Home &gt; Conditional Formatting
3. Select Highlight Cells Rules &gt; Duplicate Values</t>
  </si>
  <si>
    <t>1. Select the dataset A1:E11
2. Go to Data Tab
3. Click Remove Duplicates
4. Ensure all columns are selected
5. Click OK</t>
  </si>
  <si>
    <t>A1:A9</t>
  </si>
  <si>
    <t>Data Tools</t>
  </si>
  <si>
    <t>Try Separating Full Name to 2 columns First Name and Last Name</t>
  </si>
  <si>
    <t>Number</t>
  </si>
  <si>
    <t>Text</t>
  </si>
  <si>
    <t>Currency</t>
  </si>
  <si>
    <t>Target Met</t>
  </si>
  <si>
    <t>Maria</t>
  </si>
  <si>
    <t>Lopez</t>
  </si>
  <si>
    <t>James</t>
  </si>
  <si>
    <t>Carter</t>
  </si>
  <si>
    <t>Li</t>
  </si>
  <si>
    <t>Chen</t>
  </si>
  <si>
    <t>Sarah</t>
  </si>
  <si>
    <t>Ahmed</t>
  </si>
  <si>
    <t>David</t>
  </si>
  <si>
    <t>Smith</t>
  </si>
  <si>
    <t>Ana</t>
  </si>
  <si>
    <t>Rodriguez</t>
  </si>
  <si>
    <t>Michael</t>
  </si>
  <si>
    <t>Brown</t>
  </si>
  <si>
    <t>Emily</t>
  </si>
  <si>
    <t>Davis</t>
  </si>
  <si>
    <t>Region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</si>
</sst>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44" fontId="4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1" xfId="2"/>
    <xf numFmtId="0" fontId="3" fillId="0" borderId="1" xfId="2" applyAlignment="1">
      <alignment wrapText="1"/>
    </xf>
    <xf numFmtId="0" fontId="0" fillId="3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1" fillId="4" borderId="0" xfId="0" applyFont="1" applyFill="1"/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3" borderId="0" xfId="0" applyFill="1" applyAlignment="1">
      <alignment wrapText="1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vertical="center" wrapText="1"/>
    </xf>
    <xf numFmtId="44" fontId="0" fillId="0" borderId="0" xfId="3" applyFon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4">
    <cellStyle name="Currency" xfId="3" builtinId="4"/>
    <cellStyle name="Heading 3" xfId="2" builtinId="18"/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13</xdr:col>
      <xdr:colOff>600669</xdr:colOff>
      <xdr:row>25</xdr:row>
      <xdr:rowOff>76796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0DB46C-2DCD-44AB-B495-65B012F56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350" y="1333500"/>
          <a:ext cx="4258269" cy="42677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17</xdr:col>
      <xdr:colOff>410143</xdr:colOff>
      <xdr:row>19</xdr:row>
      <xdr:rowOff>448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7080D3-E6E8-4BB3-81E1-E99493ADF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5525" y="571500"/>
          <a:ext cx="4067743" cy="32103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0</xdr:row>
      <xdr:rowOff>238125</xdr:rowOff>
    </xdr:from>
    <xdr:to>
      <xdr:col>12</xdr:col>
      <xdr:colOff>267364</xdr:colOff>
      <xdr:row>9</xdr:row>
      <xdr:rowOff>164431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7A765B-F700-D84B-855C-799FD5179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62875" y="238125"/>
          <a:ext cx="3267739" cy="25361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12</xdr:row>
      <xdr:rowOff>161925</xdr:rowOff>
    </xdr:from>
    <xdr:to>
      <xdr:col>3</xdr:col>
      <xdr:colOff>800100</xdr:colOff>
      <xdr:row>24</xdr:row>
      <xdr:rowOff>22063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F70706-2655-B4CC-6AB1-01E926FBD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3495675"/>
          <a:ext cx="3819525" cy="2146138"/>
        </a:xfrm>
        <a:prstGeom prst="rect">
          <a:avLst/>
        </a:prstGeom>
        <a:solidFill>
          <a:schemeClr val="accent2"/>
        </a:solidFill>
        <a:ln w="19050">
          <a:solidFill>
            <a:srgbClr val="FF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781051</xdr:colOff>
      <xdr:row>12</xdr:row>
      <xdr:rowOff>38100</xdr:rowOff>
    </xdr:from>
    <xdr:to>
      <xdr:col>5</xdr:col>
      <xdr:colOff>552450</xdr:colOff>
      <xdr:row>36</xdr:row>
      <xdr:rowOff>10344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9085F1-E86F-4FFA-C05E-B8D7EC370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1" y="3371850"/>
          <a:ext cx="4943474" cy="4544244"/>
        </a:xfrm>
        <a:prstGeom prst="rect">
          <a:avLst/>
        </a:prstGeom>
        <a:ln w="19050">
          <a:solidFill>
            <a:srgbClr val="FF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4</xdr:col>
      <xdr:colOff>240634</xdr:colOff>
      <xdr:row>25</xdr:row>
      <xdr:rowOff>47626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740FCB-C85C-B1FE-F30A-195C8775E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4191000"/>
          <a:ext cx="2707609" cy="252412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8</xdr:col>
      <xdr:colOff>226250</xdr:colOff>
      <xdr:row>20</xdr:row>
      <xdr:rowOff>71217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DE1442-A6E7-BDD1-0B95-43839C514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0550" y="4191000"/>
          <a:ext cx="2750375" cy="15952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495300</xdr:colOff>
      <xdr:row>2</xdr:row>
      <xdr:rowOff>142875</xdr:rowOff>
    </xdr:from>
    <xdr:to>
      <xdr:col>15</xdr:col>
      <xdr:colOff>111641</xdr:colOff>
      <xdr:row>14</xdr:row>
      <xdr:rowOff>143073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A6E0BC-6B7B-5805-0819-DBE27E476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0" y="714375"/>
          <a:ext cx="4493141" cy="2286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emily.davis@email.com" TargetMode="External"/><Relationship Id="rId3" Type="http://schemas.openxmlformats.org/officeDocument/2006/relationships/hyperlink" Target="mailto:li.chen@email.com" TargetMode="External"/><Relationship Id="rId7" Type="http://schemas.openxmlformats.org/officeDocument/2006/relationships/hyperlink" Target="mailto:michael.brown@email.com" TargetMode="External"/><Relationship Id="rId2" Type="http://schemas.openxmlformats.org/officeDocument/2006/relationships/hyperlink" Target="mailto:james.carter@email.com" TargetMode="External"/><Relationship Id="rId1" Type="http://schemas.openxmlformats.org/officeDocument/2006/relationships/hyperlink" Target="mailto:maria.lopez@email.com" TargetMode="External"/><Relationship Id="rId6" Type="http://schemas.openxmlformats.org/officeDocument/2006/relationships/hyperlink" Target="mailto:ana.rodriguez@email.com" TargetMode="External"/><Relationship Id="rId5" Type="http://schemas.openxmlformats.org/officeDocument/2006/relationships/hyperlink" Target="mailto:david.smith@email.com" TargetMode="External"/><Relationship Id="rId4" Type="http://schemas.openxmlformats.org/officeDocument/2006/relationships/hyperlink" Target="mailto:sarah.ahmed@email.com" TargetMode="External"/><Relationship Id="rId9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035B-A82F-4B7A-AE13-DDCC3C185B9A}">
  <dimension ref="A1:T9"/>
  <sheetViews>
    <sheetView workbookViewId="0">
      <selection activeCell="P3" sqref="P3"/>
    </sheetView>
  </sheetViews>
  <sheetFormatPr defaultRowHeight="15" x14ac:dyDescent="0.25"/>
  <cols>
    <col min="1" max="1" width="8.5703125" bestFit="1" customWidth="1"/>
    <col min="2" max="2" width="9.28515625" customWidth="1"/>
    <col min="5" max="5" width="6.5703125" bestFit="1" customWidth="1"/>
    <col min="6" max="6" width="9.42578125" bestFit="1" customWidth="1"/>
    <col min="8" max="8" width="6.5703125" bestFit="1" customWidth="1"/>
    <col min="11" max="11" width="20.140625" customWidth="1"/>
    <col min="12" max="18" width="11.42578125" customWidth="1"/>
  </cols>
  <sheetData>
    <row r="1" spans="1:2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 ht="30.75" thickBot="1" x14ac:dyDescent="0.3">
      <c r="A2" s="2">
        <v>1001</v>
      </c>
      <c r="B2" s="2" t="s">
        <v>9</v>
      </c>
      <c r="C2" s="2" t="s">
        <v>10</v>
      </c>
      <c r="D2" s="2">
        <v>2</v>
      </c>
      <c r="E2" s="2">
        <v>499.99</v>
      </c>
      <c r="F2" s="3">
        <v>46037</v>
      </c>
      <c r="G2" s="2" t="s">
        <v>11</v>
      </c>
      <c r="H2" s="2">
        <v>999.98</v>
      </c>
      <c r="I2" s="2" t="b">
        <v>1</v>
      </c>
      <c r="K2" t="s">
        <v>67</v>
      </c>
      <c r="L2" s="5" t="s">
        <v>0</v>
      </c>
      <c r="M2" s="6" t="s">
        <v>69</v>
      </c>
      <c r="N2" s="6" t="s">
        <v>70</v>
      </c>
      <c r="O2" s="5" t="s">
        <v>71</v>
      </c>
      <c r="P2" s="5" t="s">
        <v>4</v>
      </c>
      <c r="Q2" s="6" t="s">
        <v>72</v>
      </c>
      <c r="R2" s="6" t="s">
        <v>73</v>
      </c>
    </row>
    <row r="3" spans="1:20" ht="30" x14ac:dyDescent="0.25">
      <c r="A3" s="2">
        <v>1002</v>
      </c>
      <c r="B3" s="2" t="s">
        <v>12</v>
      </c>
      <c r="C3" s="2" t="s">
        <v>13</v>
      </c>
      <c r="D3" s="2">
        <v>5</v>
      </c>
      <c r="E3" s="2">
        <v>29.99</v>
      </c>
      <c r="F3" s="3">
        <v>46038</v>
      </c>
      <c r="G3" s="2" t="s">
        <v>14</v>
      </c>
      <c r="H3" s="2">
        <v>149.94999999999999</v>
      </c>
      <c r="I3" s="2" t="b">
        <v>0</v>
      </c>
      <c r="K3" t="s">
        <v>68</v>
      </c>
      <c r="L3" t="s">
        <v>92</v>
      </c>
      <c r="M3" t="s">
        <v>93</v>
      </c>
      <c r="N3" t="s">
        <v>93</v>
      </c>
      <c r="O3" t="s">
        <v>92</v>
      </c>
      <c r="P3" t="s">
        <v>94</v>
      </c>
      <c r="Q3" t="s">
        <v>93</v>
      </c>
      <c r="R3" t="s">
        <v>92</v>
      </c>
    </row>
    <row r="4" spans="1:20" ht="45" x14ac:dyDescent="0.25">
      <c r="A4" s="2">
        <v>1003</v>
      </c>
      <c r="B4" s="2" t="s">
        <v>15</v>
      </c>
      <c r="C4" s="2" t="s">
        <v>16</v>
      </c>
      <c r="D4" s="2">
        <v>1</v>
      </c>
      <c r="E4" s="2">
        <v>899</v>
      </c>
      <c r="F4" s="3">
        <v>46040</v>
      </c>
      <c r="G4" s="2" t="s">
        <v>11</v>
      </c>
      <c r="H4" s="2">
        <v>899</v>
      </c>
      <c r="I4" s="2" t="b">
        <v>1</v>
      </c>
    </row>
    <row r="5" spans="1:20" ht="30" x14ac:dyDescent="0.25">
      <c r="A5" s="2">
        <v>1004</v>
      </c>
      <c r="B5" s="2" t="s">
        <v>17</v>
      </c>
      <c r="C5" s="2" t="s">
        <v>10</v>
      </c>
      <c r="D5" s="2">
        <v>3</v>
      </c>
      <c r="E5" s="2">
        <v>199.5</v>
      </c>
      <c r="F5" s="3">
        <v>46042</v>
      </c>
      <c r="G5" s="2" t="s">
        <v>14</v>
      </c>
      <c r="H5" s="2">
        <v>598.5</v>
      </c>
      <c r="I5" s="2" t="b">
        <v>0</v>
      </c>
      <c r="L5" s="14" t="s">
        <v>74</v>
      </c>
      <c r="M5" s="15"/>
      <c r="N5" s="15"/>
      <c r="O5" s="15"/>
      <c r="P5" s="15"/>
      <c r="Q5" s="15"/>
      <c r="R5" s="15"/>
      <c r="S5" s="15"/>
      <c r="T5" s="15"/>
    </row>
    <row r="6" spans="1:20" ht="30" x14ac:dyDescent="0.25">
      <c r="A6" s="2">
        <v>1005</v>
      </c>
      <c r="B6" s="2" t="s">
        <v>18</v>
      </c>
      <c r="C6" s="2" t="s">
        <v>19</v>
      </c>
      <c r="D6" s="2">
        <v>1</v>
      </c>
      <c r="E6" s="2">
        <v>1200</v>
      </c>
      <c r="F6" s="3">
        <v>46044</v>
      </c>
      <c r="G6" s="2" t="s">
        <v>11</v>
      </c>
      <c r="H6" s="2">
        <v>1200</v>
      </c>
      <c r="I6" s="2" t="b">
        <v>1</v>
      </c>
    </row>
    <row r="7" spans="1:20" ht="45" x14ac:dyDescent="0.25">
      <c r="A7" s="2">
        <v>1006</v>
      </c>
      <c r="B7" s="2" t="s">
        <v>20</v>
      </c>
      <c r="C7" s="2" t="s">
        <v>13</v>
      </c>
      <c r="D7" s="2">
        <v>4</v>
      </c>
      <c r="E7" s="2">
        <v>45</v>
      </c>
      <c r="F7" s="3">
        <v>46045</v>
      </c>
      <c r="G7" s="2" t="s">
        <v>14</v>
      </c>
      <c r="H7" s="2">
        <v>180</v>
      </c>
      <c r="I7" s="2" t="b">
        <v>0</v>
      </c>
    </row>
    <row r="8" spans="1:20" ht="30" x14ac:dyDescent="0.25">
      <c r="A8" s="2">
        <v>1007</v>
      </c>
      <c r="B8" s="2" t="s">
        <v>21</v>
      </c>
      <c r="C8" s="2" t="s">
        <v>10</v>
      </c>
      <c r="D8" s="2">
        <v>2</v>
      </c>
      <c r="E8" s="2">
        <v>350.75</v>
      </c>
      <c r="F8" s="3">
        <v>46047</v>
      </c>
      <c r="G8" s="2" t="s">
        <v>11</v>
      </c>
      <c r="H8" s="2">
        <v>701.5</v>
      </c>
      <c r="I8" s="2" t="b">
        <v>1</v>
      </c>
    </row>
    <row r="9" spans="1:20" ht="45" x14ac:dyDescent="0.25">
      <c r="A9" s="2">
        <v>1008</v>
      </c>
      <c r="B9" s="2" t="s">
        <v>22</v>
      </c>
      <c r="C9" s="2" t="s">
        <v>16</v>
      </c>
      <c r="D9" s="2">
        <v>1</v>
      </c>
      <c r="E9" s="2">
        <v>650.4</v>
      </c>
      <c r="F9" s="3">
        <v>46049</v>
      </c>
      <c r="G9" s="2" t="s">
        <v>14</v>
      </c>
      <c r="H9" s="2">
        <v>650.4</v>
      </c>
      <c r="I9" s="2" t="b">
        <v>0</v>
      </c>
    </row>
  </sheetData>
  <mergeCells count="1">
    <mergeCell ref="L5:T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640F-DC24-4297-BAD1-D2B0E93CBB5C}">
  <dimension ref="A1:M9"/>
  <sheetViews>
    <sheetView workbookViewId="0">
      <selection activeCell="F2" sqref="F2"/>
    </sheetView>
  </sheetViews>
  <sheetFormatPr defaultRowHeight="15" x14ac:dyDescent="0.25"/>
  <cols>
    <col min="1" max="1" width="8.5703125" bestFit="1" customWidth="1"/>
    <col min="2" max="2" width="8.85546875" bestFit="1" customWidth="1"/>
    <col min="3" max="3" width="5.7109375" bestFit="1" customWidth="1"/>
    <col min="4" max="4" width="10" bestFit="1" customWidth="1"/>
    <col min="5" max="5" width="9.42578125" bestFit="1" customWidth="1"/>
    <col min="6" max="6" width="9" bestFit="1" customWidth="1"/>
  </cols>
  <sheetData>
    <row r="1" spans="1:13" ht="30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</row>
    <row r="2" spans="1:13" ht="30" x14ac:dyDescent="0.25">
      <c r="A2" s="2">
        <v>1001</v>
      </c>
      <c r="B2" s="2" t="s">
        <v>9</v>
      </c>
      <c r="C2" s="21">
        <v>2</v>
      </c>
      <c r="D2" s="20">
        <v>499.99</v>
      </c>
      <c r="E2" s="3">
        <v>46037</v>
      </c>
      <c r="F2" s="19">
        <v>999.98</v>
      </c>
      <c r="I2" s="16" t="s">
        <v>75</v>
      </c>
      <c r="J2" s="16"/>
      <c r="K2" s="16"/>
    </row>
    <row r="3" spans="1:13" ht="75" customHeight="1" x14ac:dyDescent="0.25">
      <c r="A3" s="2">
        <v>1002</v>
      </c>
      <c r="B3" s="2" t="s">
        <v>12</v>
      </c>
      <c r="C3" s="21">
        <v>5</v>
      </c>
      <c r="D3" s="20">
        <v>29.99</v>
      </c>
      <c r="E3" s="3">
        <v>46038</v>
      </c>
      <c r="F3" s="19">
        <v>149.94999999999999</v>
      </c>
      <c r="I3" s="12" t="s">
        <v>76</v>
      </c>
      <c r="J3" s="12"/>
      <c r="K3" s="12"/>
      <c r="L3" s="12"/>
      <c r="M3" s="12"/>
    </row>
    <row r="4" spans="1:13" x14ac:dyDescent="0.25">
      <c r="A4" s="2">
        <v>1003</v>
      </c>
      <c r="B4" s="2" t="s">
        <v>15</v>
      </c>
      <c r="C4" s="21">
        <v>1</v>
      </c>
      <c r="D4" s="20">
        <v>899</v>
      </c>
      <c r="E4" s="3">
        <v>46040</v>
      </c>
      <c r="F4" s="19">
        <v>899</v>
      </c>
    </row>
    <row r="5" spans="1:13" ht="30" x14ac:dyDescent="0.25">
      <c r="A5" s="2">
        <v>1004</v>
      </c>
      <c r="B5" s="2" t="s">
        <v>17</v>
      </c>
      <c r="C5" s="21">
        <v>3</v>
      </c>
      <c r="D5" s="20">
        <v>199.5</v>
      </c>
      <c r="E5" s="3">
        <v>46042</v>
      </c>
      <c r="F5" s="19">
        <v>598.5</v>
      </c>
    </row>
    <row r="6" spans="1:13" ht="30" x14ac:dyDescent="0.25">
      <c r="A6" s="2">
        <v>1005</v>
      </c>
      <c r="B6" s="2" t="s">
        <v>18</v>
      </c>
      <c r="C6" s="21">
        <v>1</v>
      </c>
      <c r="D6" s="20">
        <v>1200</v>
      </c>
      <c r="E6" s="3">
        <v>46044</v>
      </c>
      <c r="F6" s="19">
        <v>1200</v>
      </c>
    </row>
    <row r="7" spans="1:13" ht="45" x14ac:dyDescent="0.25">
      <c r="A7" s="2">
        <v>1006</v>
      </c>
      <c r="B7" s="2" t="s">
        <v>20</v>
      </c>
      <c r="C7" s="21">
        <v>4</v>
      </c>
      <c r="D7" s="20">
        <v>45</v>
      </c>
      <c r="E7" s="3">
        <v>46045</v>
      </c>
      <c r="F7" s="19">
        <v>180</v>
      </c>
    </row>
    <row r="8" spans="1:13" ht="30" x14ac:dyDescent="0.25">
      <c r="A8" s="2">
        <v>1007</v>
      </c>
      <c r="B8" s="2" t="s">
        <v>21</v>
      </c>
      <c r="C8" s="21">
        <v>2</v>
      </c>
      <c r="D8" s="20">
        <v>350.75</v>
      </c>
      <c r="E8" s="3">
        <v>46047</v>
      </c>
      <c r="F8" s="19">
        <v>701.5</v>
      </c>
    </row>
    <row r="9" spans="1:13" ht="30" x14ac:dyDescent="0.25">
      <c r="A9" s="2">
        <v>1008</v>
      </c>
      <c r="B9" s="2" t="s">
        <v>22</v>
      </c>
      <c r="C9" s="21">
        <v>1</v>
      </c>
      <c r="D9" s="20">
        <v>650.4</v>
      </c>
      <c r="E9" s="3">
        <v>46049</v>
      </c>
      <c r="F9" s="19">
        <v>650.4</v>
      </c>
    </row>
  </sheetData>
  <mergeCells count="2">
    <mergeCell ref="I2:K2"/>
    <mergeCell ref="I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2064-5CD3-499D-8A66-C072C53087AD}">
  <dimension ref="A1:O11"/>
  <sheetViews>
    <sheetView workbookViewId="0">
      <selection activeCell="D10" sqref="D10"/>
    </sheetView>
  </sheetViews>
  <sheetFormatPr defaultRowHeight="15" x14ac:dyDescent="0.25"/>
  <cols>
    <col min="2" max="2" width="12" customWidth="1"/>
    <col min="5" max="5" width="12.85546875" customWidth="1"/>
  </cols>
  <sheetData>
    <row r="1" spans="1:15" ht="30" x14ac:dyDescent="0.25">
      <c r="A1" s="1" t="s">
        <v>23</v>
      </c>
      <c r="B1" s="1" t="s">
        <v>10</v>
      </c>
      <c r="C1" s="1" t="s">
        <v>13</v>
      </c>
      <c r="D1" s="1" t="s">
        <v>19</v>
      </c>
      <c r="E1" s="1" t="s">
        <v>24</v>
      </c>
    </row>
    <row r="2" spans="1:15" x14ac:dyDescent="0.25">
      <c r="A2" s="2" t="s">
        <v>25</v>
      </c>
      <c r="B2" s="2">
        <v>12500</v>
      </c>
      <c r="C2" s="2">
        <v>8200</v>
      </c>
      <c r="D2" s="2">
        <v>5400</v>
      </c>
      <c r="E2" s="2">
        <v>7600</v>
      </c>
      <c r="H2" s="11" t="s">
        <v>77</v>
      </c>
      <c r="I2" s="11"/>
    </row>
    <row r="3" spans="1:15" x14ac:dyDescent="0.25">
      <c r="A3" s="2" t="s">
        <v>26</v>
      </c>
      <c r="B3" s="2">
        <v>13200</v>
      </c>
      <c r="C3" s="2">
        <v>7900</v>
      </c>
      <c r="D3" s="2">
        <v>6100</v>
      </c>
      <c r="E3" s="2">
        <v>8200</v>
      </c>
    </row>
    <row r="4" spans="1:15" x14ac:dyDescent="0.25">
      <c r="A4" s="2" t="s">
        <v>27</v>
      </c>
      <c r="B4" s="2">
        <v>14800</v>
      </c>
      <c r="C4" s="2">
        <v>9100</v>
      </c>
      <c r="D4" s="2">
        <v>6800</v>
      </c>
      <c r="E4" s="2">
        <v>8900</v>
      </c>
      <c r="H4" s="17" t="s">
        <v>86</v>
      </c>
      <c r="I4" s="11"/>
      <c r="J4" s="11"/>
      <c r="K4" s="11"/>
      <c r="L4" s="11"/>
      <c r="M4" s="11"/>
      <c r="N4" s="11"/>
      <c r="O4" s="11"/>
    </row>
    <row r="5" spans="1:15" x14ac:dyDescent="0.25">
      <c r="A5" s="2" t="s">
        <v>28</v>
      </c>
      <c r="B5" s="2">
        <v>15600</v>
      </c>
      <c r="C5" s="2">
        <v>9700</v>
      </c>
      <c r="D5" s="2">
        <v>7200</v>
      </c>
      <c r="E5" s="2">
        <v>9400</v>
      </c>
      <c r="H5" s="11"/>
      <c r="I5" s="11"/>
      <c r="J5" s="11"/>
      <c r="K5" s="11"/>
      <c r="L5" s="11"/>
      <c r="M5" s="11"/>
      <c r="N5" s="11"/>
      <c r="O5" s="11"/>
    </row>
    <row r="6" spans="1:15" x14ac:dyDescent="0.25">
      <c r="A6" s="2" t="s">
        <v>29</v>
      </c>
      <c r="B6" s="2">
        <v>16200</v>
      </c>
      <c r="C6" s="2">
        <v>10100</v>
      </c>
      <c r="D6" s="2">
        <v>7500</v>
      </c>
      <c r="E6" s="2">
        <v>9800</v>
      </c>
    </row>
    <row r="7" spans="1:15" x14ac:dyDescent="0.25">
      <c r="A7" s="1" t="s">
        <v>23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</row>
    <row r="8" spans="1:15" ht="30" x14ac:dyDescent="0.25">
      <c r="A8" s="1" t="s">
        <v>10</v>
      </c>
    </row>
    <row r="9" spans="1:15" x14ac:dyDescent="0.25">
      <c r="A9" s="1" t="s">
        <v>13</v>
      </c>
    </row>
    <row r="10" spans="1:15" ht="30" x14ac:dyDescent="0.25">
      <c r="A10" s="1" t="s">
        <v>19</v>
      </c>
    </row>
    <row r="11" spans="1:15" ht="30" x14ac:dyDescent="0.25">
      <c r="A11" s="1" t="s">
        <v>24</v>
      </c>
    </row>
  </sheetData>
  <mergeCells count="2">
    <mergeCell ref="H2:I2"/>
    <mergeCell ref="H4:O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8441-CCFE-4C81-82C4-2BF357523D59}">
  <dimension ref="A1:J18"/>
  <sheetViews>
    <sheetView workbookViewId="0">
      <selection activeCell="D10" sqref="D10"/>
    </sheetView>
  </sheetViews>
  <sheetFormatPr defaultRowHeight="15" x14ac:dyDescent="0.25"/>
  <cols>
    <col min="1" max="1" width="13.5703125" customWidth="1"/>
    <col min="2" max="2" width="17.140625" customWidth="1"/>
    <col min="3" max="3" width="12" customWidth="1"/>
    <col min="4" max="4" width="16" customWidth="1"/>
    <col min="5" max="5" width="17.42578125" customWidth="1"/>
    <col min="10" max="10" width="26.85546875" customWidth="1"/>
  </cols>
  <sheetData>
    <row r="1" spans="1:10" x14ac:dyDescent="0.25">
      <c r="A1" s="1" t="s">
        <v>0</v>
      </c>
      <c r="B1" s="1" t="s">
        <v>1</v>
      </c>
      <c r="C1" s="1" t="s">
        <v>30</v>
      </c>
      <c r="D1" s="1" t="s">
        <v>3</v>
      </c>
      <c r="E1" s="1" t="s">
        <v>5</v>
      </c>
    </row>
    <row r="2" spans="1:10" x14ac:dyDescent="0.25">
      <c r="A2" s="8">
        <v>1001</v>
      </c>
      <c r="B2" s="2" t="s">
        <v>9</v>
      </c>
      <c r="C2" s="2" t="s">
        <v>31</v>
      </c>
      <c r="D2" s="2">
        <v>1</v>
      </c>
      <c r="E2" s="3">
        <v>46032</v>
      </c>
      <c r="G2" s="11" t="s">
        <v>78</v>
      </c>
      <c r="H2" s="11"/>
      <c r="I2" s="11"/>
      <c r="J2" s="11"/>
    </row>
    <row r="3" spans="1:10" x14ac:dyDescent="0.25">
      <c r="A3" s="8">
        <v>1002</v>
      </c>
      <c r="B3" s="2" t="s">
        <v>12</v>
      </c>
      <c r="C3" s="2" t="s">
        <v>32</v>
      </c>
      <c r="D3" s="2">
        <v>2</v>
      </c>
      <c r="E3" s="3">
        <v>46033</v>
      </c>
    </row>
    <row r="4" spans="1:10" ht="17.25" customHeight="1" x14ac:dyDescent="0.25">
      <c r="A4" s="8">
        <v>1003</v>
      </c>
      <c r="B4" s="2" t="s">
        <v>15</v>
      </c>
      <c r="C4" s="2" t="s">
        <v>33</v>
      </c>
      <c r="D4" s="2">
        <v>1</v>
      </c>
      <c r="E4" s="3">
        <v>46034</v>
      </c>
      <c r="H4" s="12" t="s">
        <v>87</v>
      </c>
      <c r="I4" s="12"/>
      <c r="J4" s="12"/>
    </row>
    <row r="5" spans="1:10" ht="19.5" customHeight="1" x14ac:dyDescent="0.25">
      <c r="A5" s="8">
        <v>1004</v>
      </c>
      <c r="B5" s="2" t="s">
        <v>17</v>
      </c>
      <c r="C5" s="2" t="s">
        <v>34</v>
      </c>
      <c r="D5" s="2">
        <v>1</v>
      </c>
      <c r="E5" s="3">
        <v>46035</v>
      </c>
      <c r="H5" s="12"/>
      <c r="I5" s="12"/>
      <c r="J5" s="12"/>
    </row>
    <row r="6" spans="1:10" x14ac:dyDescent="0.25">
      <c r="A6" s="8">
        <v>1005</v>
      </c>
      <c r="B6" s="2" t="s">
        <v>18</v>
      </c>
      <c r="C6" s="2" t="s">
        <v>35</v>
      </c>
      <c r="D6" s="2">
        <v>1</v>
      </c>
      <c r="E6" s="3">
        <v>46036</v>
      </c>
      <c r="H6" s="12"/>
      <c r="I6" s="12"/>
      <c r="J6" s="12"/>
    </row>
    <row r="7" spans="1:10" x14ac:dyDescent="0.25">
      <c r="A7" s="8">
        <v>1006</v>
      </c>
      <c r="B7" s="2" t="s">
        <v>20</v>
      </c>
      <c r="C7" s="2" t="s">
        <v>36</v>
      </c>
      <c r="D7" s="2">
        <v>3</v>
      </c>
      <c r="E7" s="3">
        <v>46037</v>
      </c>
      <c r="H7" s="12"/>
      <c r="I7" s="12"/>
      <c r="J7" s="12"/>
    </row>
    <row r="8" spans="1:10" x14ac:dyDescent="0.25">
      <c r="A8" s="8">
        <v>1007</v>
      </c>
      <c r="B8" s="2" t="s">
        <v>21</v>
      </c>
      <c r="C8" s="2" t="s">
        <v>37</v>
      </c>
      <c r="D8" s="2">
        <v>1</v>
      </c>
      <c r="E8" s="3">
        <v>46038</v>
      </c>
      <c r="H8" s="12"/>
      <c r="I8" s="12"/>
      <c r="J8" s="12"/>
    </row>
    <row r="9" spans="1:10" ht="21" customHeight="1" x14ac:dyDescent="0.25">
      <c r="A9" s="8">
        <v>1008</v>
      </c>
      <c r="B9" s="2" t="s">
        <v>22</v>
      </c>
      <c r="C9" s="2" t="s">
        <v>38</v>
      </c>
      <c r="D9" s="2">
        <v>1</v>
      </c>
      <c r="E9" s="3">
        <v>46039</v>
      </c>
      <c r="G9" s="18" t="s">
        <v>79</v>
      </c>
      <c r="H9" s="18"/>
      <c r="I9" s="18"/>
      <c r="J9" s="18"/>
    </row>
    <row r="12" spans="1:10" x14ac:dyDescent="0.25">
      <c r="H12" s="17" t="s">
        <v>88</v>
      </c>
      <c r="I12" s="11"/>
      <c r="J12" s="11"/>
    </row>
    <row r="13" spans="1:10" x14ac:dyDescent="0.25">
      <c r="H13" s="11"/>
      <c r="I13" s="11"/>
      <c r="J13" s="11"/>
    </row>
    <row r="14" spans="1:10" x14ac:dyDescent="0.25">
      <c r="H14" s="11"/>
      <c r="I14" s="11"/>
      <c r="J14" s="11"/>
    </row>
    <row r="15" spans="1:10" x14ac:dyDescent="0.25">
      <c r="H15" s="11"/>
      <c r="I15" s="11"/>
      <c r="J15" s="11"/>
    </row>
    <row r="16" spans="1:10" x14ac:dyDescent="0.25">
      <c r="H16" s="11"/>
      <c r="I16" s="11"/>
      <c r="J16" s="11"/>
    </row>
    <row r="18" spans="7:10" x14ac:dyDescent="0.25">
      <c r="G18" s="9"/>
      <c r="H18" s="18" t="s">
        <v>80</v>
      </c>
      <c r="I18" s="18"/>
      <c r="J18" s="18"/>
    </row>
  </sheetData>
  <mergeCells count="5">
    <mergeCell ref="H18:J18"/>
    <mergeCell ref="G2:J2"/>
    <mergeCell ref="H4:J8"/>
    <mergeCell ref="G9:J9"/>
    <mergeCell ref="H12:J16"/>
  </mergeCells>
  <conditionalFormatting sqref="A1:E9">
    <cfRule type="duplicateValues" dxfId="0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4F71-BBAB-428D-AAD1-61E1121E4A82}">
  <dimension ref="A1:N12"/>
  <sheetViews>
    <sheetView workbookViewId="0">
      <selection activeCell="C16" sqref="C16"/>
    </sheetView>
  </sheetViews>
  <sheetFormatPr defaultRowHeight="15" x14ac:dyDescent="0.25"/>
  <cols>
    <col min="1" max="1" width="60.85546875" customWidth="1"/>
  </cols>
  <sheetData>
    <row r="1" spans="1:14" x14ac:dyDescent="0.25">
      <c r="A1" s="1" t="s">
        <v>39</v>
      </c>
    </row>
    <row r="2" spans="1:14" ht="27" customHeight="1" x14ac:dyDescent="0.25">
      <c r="A2" s="4" t="s">
        <v>96</v>
      </c>
      <c r="B2" t="s">
        <v>97</v>
      </c>
    </row>
    <row r="3" spans="1:14" ht="23.25" customHeight="1" x14ac:dyDescent="0.25">
      <c r="A3" s="4" t="s">
        <v>98</v>
      </c>
      <c r="B3" t="s">
        <v>99</v>
      </c>
      <c r="N3" t="s">
        <v>89</v>
      </c>
    </row>
    <row r="4" spans="1:14" ht="22.5" customHeight="1" x14ac:dyDescent="0.25">
      <c r="A4" s="4" t="s">
        <v>100</v>
      </c>
      <c r="B4" t="s">
        <v>101</v>
      </c>
      <c r="N4" t="s">
        <v>90</v>
      </c>
    </row>
    <row r="5" spans="1:14" ht="29.25" customHeight="1" x14ac:dyDescent="0.25">
      <c r="A5" s="4" t="s">
        <v>102</v>
      </c>
      <c r="B5" t="s">
        <v>103</v>
      </c>
    </row>
    <row r="6" spans="1:14" ht="21.75" customHeight="1" x14ac:dyDescent="0.25">
      <c r="A6" s="4" t="s">
        <v>104</v>
      </c>
      <c r="B6" t="s">
        <v>105</v>
      </c>
    </row>
    <row r="7" spans="1:14" ht="18" customHeight="1" x14ac:dyDescent="0.25">
      <c r="A7" s="4" t="s">
        <v>106</v>
      </c>
      <c r="B7" t="s">
        <v>107</v>
      </c>
    </row>
    <row r="8" spans="1:14" ht="24" customHeight="1" x14ac:dyDescent="0.25">
      <c r="A8" s="4" t="s">
        <v>108</v>
      </c>
      <c r="B8" t="s">
        <v>109</v>
      </c>
    </row>
    <row r="9" spans="1:14" ht="21" customHeight="1" x14ac:dyDescent="0.25">
      <c r="A9" s="4" t="s">
        <v>110</v>
      </c>
      <c r="B9" t="s">
        <v>111</v>
      </c>
    </row>
    <row r="12" spans="1:14" x14ac:dyDescent="0.25">
      <c r="A12" s="7" t="s">
        <v>81</v>
      </c>
      <c r="H12" s="10" t="s">
        <v>91</v>
      </c>
      <c r="I12" s="10"/>
      <c r="J12" s="10"/>
      <c r="K12" s="10"/>
      <c r="L12" s="10"/>
      <c r="M12" s="10"/>
      <c r="N12" s="10"/>
    </row>
  </sheetData>
  <hyperlinks>
    <hyperlink ref="A2" r:id="rId1" display="mailto:maria.lopez@email.com" xr:uid="{02886AFE-5F85-41F7-BF78-1C5177A047F9}"/>
    <hyperlink ref="A3" r:id="rId2" display="mailto:james.carter@email.com" xr:uid="{3B591DD2-73C0-4631-A5A5-20F5B87BC211}"/>
    <hyperlink ref="A4" r:id="rId3" display="mailto:li.chen@email.com" xr:uid="{4BF15862-8CE6-400E-AF2C-BF8327A416A6}"/>
    <hyperlink ref="A5" r:id="rId4" display="mailto:sarah.ahmed@email.com" xr:uid="{70C7B7BF-151C-4B0E-83C7-D87F82C93214}"/>
    <hyperlink ref="A6" r:id="rId5" display="mailto:david.smith@email.com" xr:uid="{F5CF40A3-27C9-4423-A926-BCC35C33DC87}"/>
    <hyperlink ref="A7" r:id="rId6" display="mailto:ana.rodriguez@email.com" xr:uid="{B20E6B18-593B-4E22-9ABB-7070E671CB2B}"/>
    <hyperlink ref="A8" r:id="rId7" display="mailto:michael.brown@email.com" xr:uid="{878D4664-9B3C-4B14-8D4D-F1D980D946E3}"/>
    <hyperlink ref="A9" r:id="rId8" display="mailto:emily.davis@email.com" xr:uid="{68242843-DBEF-4001-AD8D-009E30A65706}"/>
  </hyperlinks>
  <pageMargins left="0.7" right="0.7" top="0.75" bottom="0.75" header="0.3" footer="0.3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E7E9-EFE7-4E39-B096-078BA7236631}">
  <dimension ref="A1:E11"/>
  <sheetViews>
    <sheetView workbookViewId="0">
      <selection activeCell="E2" sqref="E2:E9"/>
    </sheetView>
  </sheetViews>
  <sheetFormatPr defaultRowHeight="15" x14ac:dyDescent="0.25"/>
  <cols>
    <col min="1" max="1" width="17.42578125" customWidth="1"/>
    <col min="2" max="2" width="19.28515625" customWidth="1"/>
    <col min="3" max="3" width="13" customWidth="1"/>
    <col min="4" max="4" width="15.140625" customWidth="1"/>
    <col min="5" max="5" width="10.42578125" bestFit="1" customWidth="1"/>
  </cols>
  <sheetData>
    <row r="1" spans="1:5" ht="22.5" customHeight="1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95</v>
      </c>
    </row>
    <row r="2" spans="1:5" ht="22.5" customHeight="1" x14ac:dyDescent="0.25">
      <c r="A2" s="2" t="s">
        <v>44</v>
      </c>
      <c r="B2" s="2" t="s">
        <v>9</v>
      </c>
      <c r="C2" s="2" t="s">
        <v>45</v>
      </c>
      <c r="D2" s="8">
        <v>12500</v>
      </c>
      <c r="E2" t="str">
        <f>IF(D2&gt;=10000, "Yes", "No")</f>
        <v>Yes</v>
      </c>
    </row>
    <row r="3" spans="1:5" ht="22.5" customHeight="1" x14ac:dyDescent="0.25">
      <c r="A3" s="2" t="s">
        <v>46</v>
      </c>
      <c r="B3" s="2" t="s">
        <v>12</v>
      </c>
      <c r="C3" s="2" t="s">
        <v>47</v>
      </c>
      <c r="D3" s="8">
        <v>8700</v>
      </c>
      <c r="E3" t="str">
        <f t="shared" ref="E3:E9" si="0">IF(D3&gt;=10000, "Yes", "No")</f>
        <v>No</v>
      </c>
    </row>
    <row r="4" spans="1:5" ht="22.5" customHeight="1" x14ac:dyDescent="0.25">
      <c r="A4" s="2" t="s">
        <v>48</v>
      </c>
      <c r="B4" s="2" t="s">
        <v>15</v>
      </c>
      <c r="C4" s="2" t="s">
        <v>49</v>
      </c>
      <c r="D4" s="8">
        <v>9400</v>
      </c>
      <c r="E4" t="str">
        <f t="shared" si="0"/>
        <v>No</v>
      </c>
    </row>
    <row r="5" spans="1:5" ht="22.5" customHeight="1" x14ac:dyDescent="0.25">
      <c r="A5" s="2" t="s">
        <v>50</v>
      </c>
      <c r="B5" s="2" t="s">
        <v>17</v>
      </c>
      <c r="C5" s="2" t="s">
        <v>51</v>
      </c>
      <c r="D5" s="8">
        <v>11200</v>
      </c>
      <c r="E5" t="str">
        <f t="shared" si="0"/>
        <v>Yes</v>
      </c>
    </row>
    <row r="6" spans="1:5" ht="22.5" customHeight="1" x14ac:dyDescent="0.25">
      <c r="A6" s="2" t="s">
        <v>52</v>
      </c>
      <c r="B6" s="2" t="s">
        <v>18</v>
      </c>
      <c r="C6" s="2" t="s">
        <v>47</v>
      </c>
      <c r="D6" s="8">
        <v>7600</v>
      </c>
      <c r="E6" t="str">
        <f t="shared" si="0"/>
        <v>No</v>
      </c>
    </row>
    <row r="7" spans="1:5" ht="22.5" customHeight="1" x14ac:dyDescent="0.25">
      <c r="A7" s="2" t="s">
        <v>53</v>
      </c>
      <c r="B7" s="2" t="s">
        <v>20</v>
      </c>
      <c r="C7" s="2" t="s">
        <v>45</v>
      </c>
      <c r="D7" s="8">
        <v>13200</v>
      </c>
      <c r="E7" t="str">
        <f t="shared" si="0"/>
        <v>Yes</v>
      </c>
    </row>
    <row r="8" spans="1:5" ht="22.5" customHeight="1" x14ac:dyDescent="0.25">
      <c r="A8" s="2" t="s">
        <v>54</v>
      </c>
      <c r="B8" s="2" t="s">
        <v>21</v>
      </c>
      <c r="C8" s="2" t="s">
        <v>49</v>
      </c>
      <c r="D8" s="8">
        <v>9800</v>
      </c>
      <c r="E8" t="str">
        <f t="shared" si="0"/>
        <v>No</v>
      </c>
    </row>
    <row r="9" spans="1:5" ht="22.5" customHeight="1" x14ac:dyDescent="0.25">
      <c r="A9" s="2" t="s">
        <v>55</v>
      </c>
      <c r="B9" s="2" t="s">
        <v>22</v>
      </c>
      <c r="C9" s="2" t="s">
        <v>51</v>
      </c>
      <c r="D9" s="8">
        <v>10400</v>
      </c>
      <c r="E9" t="str">
        <f t="shared" si="0"/>
        <v>Yes</v>
      </c>
    </row>
    <row r="11" spans="1:5" ht="30" x14ac:dyDescent="0.25">
      <c r="A11" s="2" t="s">
        <v>82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6AC3-EBBB-4DA2-ADD8-4E3DC71FA064}">
  <dimension ref="A1:E11"/>
  <sheetViews>
    <sheetView workbookViewId="0">
      <selection activeCell="L22" sqref="L22"/>
    </sheetView>
  </sheetViews>
  <sheetFormatPr defaultRowHeight="15" x14ac:dyDescent="0.25"/>
  <cols>
    <col min="1" max="1" width="17.42578125" customWidth="1"/>
    <col min="2" max="2" width="19.28515625" customWidth="1"/>
    <col min="3" max="3" width="13" customWidth="1"/>
    <col min="4" max="4" width="15.140625" customWidth="1"/>
    <col min="5" max="5" width="12.7109375" bestFit="1" customWidth="1"/>
  </cols>
  <sheetData>
    <row r="1" spans="1:5" ht="30" customHeight="1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112</v>
      </c>
    </row>
    <row r="2" spans="1:5" ht="22.5" customHeight="1" x14ac:dyDescent="0.25">
      <c r="A2" s="2" t="s">
        <v>44</v>
      </c>
      <c r="B2" s="2" t="s">
        <v>9</v>
      </c>
      <c r="C2" s="2" t="s">
        <v>45</v>
      </c>
      <c r="D2" s="8">
        <v>12500</v>
      </c>
      <c r="E2" t="str" cm="1">
        <f t="array" ref="E2">_xlfn.SWITCH(C2, "E", "East", "W", "West", "N", "North", "S", "South")</f>
        <v>East</v>
      </c>
    </row>
    <row r="3" spans="1:5" ht="22.5" customHeight="1" x14ac:dyDescent="0.25">
      <c r="A3" s="2" t="s">
        <v>46</v>
      </c>
      <c r="B3" s="2" t="s">
        <v>12</v>
      </c>
      <c r="C3" s="2" t="s">
        <v>47</v>
      </c>
      <c r="D3" s="8">
        <v>8700</v>
      </c>
      <c r="E3" t="str" cm="1">
        <f t="array" ref="E3">_xlfn.SWITCH(C3, "E", "East", "W", "West", "N", "North", "S", "South")</f>
        <v>West</v>
      </c>
    </row>
    <row r="4" spans="1:5" ht="22.5" customHeight="1" x14ac:dyDescent="0.25">
      <c r="A4" s="2" t="s">
        <v>48</v>
      </c>
      <c r="B4" s="2" t="s">
        <v>15</v>
      </c>
      <c r="C4" s="2" t="s">
        <v>49</v>
      </c>
      <c r="D4" s="8">
        <v>9400</v>
      </c>
      <c r="E4" t="str" cm="1">
        <f t="array" ref="E4">_xlfn.SWITCH(C4, "E", "East", "W", "West", "N", "North", "S", "South")</f>
        <v>North</v>
      </c>
    </row>
    <row r="5" spans="1:5" ht="22.5" customHeight="1" x14ac:dyDescent="0.25">
      <c r="A5" s="2" t="s">
        <v>50</v>
      </c>
      <c r="B5" s="2" t="s">
        <v>17</v>
      </c>
      <c r="C5" s="2" t="s">
        <v>51</v>
      </c>
      <c r="D5" s="8">
        <v>11200</v>
      </c>
      <c r="E5" t="str" cm="1">
        <f t="array" ref="E5">_xlfn.SWITCH(C5, "E", "East", "W", "West", "N", "North", "S", "South")</f>
        <v>South</v>
      </c>
    </row>
    <row r="6" spans="1:5" ht="22.5" customHeight="1" x14ac:dyDescent="0.25">
      <c r="A6" s="2" t="s">
        <v>52</v>
      </c>
      <c r="B6" s="2" t="s">
        <v>18</v>
      </c>
      <c r="C6" s="2" t="s">
        <v>47</v>
      </c>
      <c r="D6" s="8">
        <v>7600</v>
      </c>
      <c r="E6" t="str" cm="1">
        <f t="array" ref="E6">_xlfn.SWITCH(C6, "E", "East", "W", "West", "N", "North", "S", "South")</f>
        <v>West</v>
      </c>
    </row>
    <row r="7" spans="1:5" ht="22.5" customHeight="1" x14ac:dyDescent="0.25">
      <c r="A7" s="2" t="s">
        <v>53</v>
      </c>
      <c r="B7" s="2" t="s">
        <v>20</v>
      </c>
      <c r="C7" s="2" t="s">
        <v>45</v>
      </c>
      <c r="D7" s="8">
        <v>13200</v>
      </c>
      <c r="E7" t="str" cm="1">
        <f t="array" ref="E7">_xlfn.SWITCH(C7, "E", "East", "W", "West", "N", "North", "S", "South")</f>
        <v>East</v>
      </c>
    </row>
    <row r="8" spans="1:5" ht="22.5" customHeight="1" x14ac:dyDescent="0.25">
      <c r="A8" s="2" t="s">
        <v>54</v>
      </c>
      <c r="B8" s="2" t="s">
        <v>21</v>
      </c>
      <c r="C8" s="2" t="s">
        <v>49</v>
      </c>
      <c r="D8" s="8">
        <v>9800</v>
      </c>
      <c r="E8" t="str" cm="1">
        <f t="array" ref="E8">_xlfn.SWITCH(C8, "E", "East", "W", "West", "N", "North", "S", "South")</f>
        <v>North</v>
      </c>
    </row>
    <row r="9" spans="1:5" ht="22.5" customHeight="1" x14ac:dyDescent="0.25">
      <c r="A9" s="2" t="s">
        <v>55</v>
      </c>
      <c r="B9" s="2" t="s">
        <v>22</v>
      </c>
      <c r="C9" s="2" t="s">
        <v>51</v>
      </c>
      <c r="D9" s="8">
        <v>10400</v>
      </c>
      <c r="E9" t="str" cm="1">
        <f t="array" ref="E9">_xlfn.SWITCH(C9, "E", "East", "W", "West", "N", "North", "S", "South")</f>
        <v>South</v>
      </c>
    </row>
    <row r="11" spans="1:5" ht="30" x14ac:dyDescent="0.25">
      <c r="A11" s="2" t="s">
        <v>82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A4B6-7A80-4658-9425-E7D4BCBFB7E4}">
  <dimension ref="A1:H11"/>
  <sheetViews>
    <sheetView workbookViewId="0">
      <selection activeCell="K7" sqref="K7"/>
    </sheetView>
  </sheetViews>
  <sheetFormatPr defaultRowHeight="15" x14ac:dyDescent="0.25"/>
  <cols>
    <col min="1" max="1" width="13.28515625" customWidth="1"/>
    <col min="2" max="2" width="13.85546875" customWidth="1"/>
    <col min="3" max="3" width="14" customWidth="1"/>
    <col min="5" max="5" width="15.7109375" customWidth="1"/>
    <col min="6" max="6" width="14.42578125" customWidth="1"/>
    <col min="7" max="7" width="11.5703125" bestFit="1" customWidth="1"/>
    <col min="8" max="8" width="11.85546875" bestFit="1" customWidth="1"/>
  </cols>
  <sheetData>
    <row r="1" spans="1:8" ht="30" x14ac:dyDescent="0.25">
      <c r="A1" s="1" t="s">
        <v>40</v>
      </c>
      <c r="B1" s="1" t="s">
        <v>41</v>
      </c>
      <c r="C1" s="1" t="s">
        <v>56</v>
      </c>
      <c r="E1" s="1" t="s">
        <v>40</v>
      </c>
      <c r="F1" s="1" t="s">
        <v>57</v>
      </c>
      <c r="G1" s="1" t="s">
        <v>41</v>
      </c>
      <c r="H1" s="1" t="s">
        <v>56</v>
      </c>
    </row>
    <row r="2" spans="1:8" x14ac:dyDescent="0.25">
      <c r="A2" s="2" t="s">
        <v>44</v>
      </c>
      <c r="B2" s="2" t="s">
        <v>9</v>
      </c>
      <c r="C2" s="2" t="s">
        <v>10</v>
      </c>
      <c r="E2" s="2" t="s">
        <v>44</v>
      </c>
      <c r="F2" s="2">
        <v>12500</v>
      </c>
      <c r="G2" s="2" t="str">
        <f>VLOOKUP(E2, $A$2:$C$9,2, FALSE)</f>
        <v>Maria Lopez</v>
      </c>
      <c r="H2" t="str">
        <f>VLOOKUP(E2, $A$2:$C$9, 3, FALSE)</f>
        <v>Electronics</v>
      </c>
    </row>
    <row r="3" spans="1:8" ht="30" x14ac:dyDescent="0.25">
      <c r="A3" s="2" t="s">
        <v>46</v>
      </c>
      <c r="B3" s="2" t="s">
        <v>12</v>
      </c>
      <c r="C3" s="2" t="s">
        <v>13</v>
      </c>
      <c r="E3" s="2" t="s">
        <v>50</v>
      </c>
      <c r="F3" s="2">
        <v>11200</v>
      </c>
      <c r="G3" s="2" t="str">
        <f t="shared" ref="G3:G9" si="0">VLOOKUP(E3, $A$2:$C$9,2, FALSE)</f>
        <v>Sarah Ahmed</v>
      </c>
      <c r="H3" t="str">
        <f t="shared" ref="H3:H9" si="1">VLOOKUP(E3, $A$2:$C$9, 3, FALSE)</f>
        <v>Electronics</v>
      </c>
    </row>
    <row r="4" spans="1:8" ht="30" x14ac:dyDescent="0.25">
      <c r="A4" s="2" t="s">
        <v>48</v>
      </c>
      <c r="B4" s="2" t="s">
        <v>15</v>
      </c>
      <c r="C4" s="2" t="s">
        <v>24</v>
      </c>
      <c r="E4" s="2" t="s">
        <v>46</v>
      </c>
      <c r="F4" s="2">
        <v>8700</v>
      </c>
      <c r="G4" s="2" t="str">
        <f t="shared" si="0"/>
        <v>James Carter</v>
      </c>
      <c r="H4" t="str">
        <f t="shared" si="1"/>
        <v>Clothing</v>
      </c>
    </row>
    <row r="5" spans="1:8" ht="30" x14ac:dyDescent="0.25">
      <c r="A5" s="2" t="s">
        <v>50</v>
      </c>
      <c r="B5" s="2" t="s">
        <v>17</v>
      </c>
      <c r="C5" s="2" t="s">
        <v>10</v>
      </c>
      <c r="E5" s="2" t="s">
        <v>55</v>
      </c>
      <c r="F5" s="2">
        <v>10400</v>
      </c>
      <c r="G5" s="2" t="str">
        <f t="shared" si="0"/>
        <v>Emily Davis</v>
      </c>
      <c r="H5" t="str">
        <f t="shared" si="1"/>
        <v>Furniture</v>
      </c>
    </row>
    <row r="6" spans="1:8" ht="30" x14ac:dyDescent="0.25">
      <c r="A6" s="2" t="s">
        <v>52</v>
      </c>
      <c r="B6" s="2" t="s">
        <v>18</v>
      </c>
      <c r="C6" s="2" t="s">
        <v>19</v>
      </c>
      <c r="E6" s="2" t="s">
        <v>52</v>
      </c>
      <c r="F6" s="2">
        <v>7600</v>
      </c>
      <c r="G6" s="2" t="str">
        <f t="shared" si="0"/>
        <v>David Smith</v>
      </c>
      <c r="H6" t="str">
        <f t="shared" si="1"/>
        <v>Furniture</v>
      </c>
    </row>
    <row r="7" spans="1:8" ht="30" x14ac:dyDescent="0.25">
      <c r="A7" s="2" t="s">
        <v>53</v>
      </c>
      <c r="B7" s="2" t="s">
        <v>20</v>
      </c>
      <c r="C7" s="2" t="s">
        <v>13</v>
      </c>
      <c r="E7" s="2" t="s">
        <v>48</v>
      </c>
      <c r="F7" s="2">
        <v>9400</v>
      </c>
      <c r="G7" s="2" t="str">
        <f t="shared" si="0"/>
        <v>Li Chen</v>
      </c>
      <c r="H7" t="str">
        <f t="shared" si="1"/>
        <v>Appliances</v>
      </c>
    </row>
    <row r="8" spans="1:8" ht="30" x14ac:dyDescent="0.25">
      <c r="A8" s="2" t="s">
        <v>54</v>
      </c>
      <c r="B8" s="2" t="s">
        <v>21</v>
      </c>
      <c r="C8" s="2" t="s">
        <v>24</v>
      </c>
      <c r="E8" s="2" t="s">
        <v>53</v>
      </c>
      <c r="F8" s="2">
        <v>13200</v>
      </c>
      <c r="G8" s="2" t="str">
        <f t="shared" si="0"/>
        <v>Ana Rodriguez</v>
      </c>
      <c r="H8" t="str">
        <f t="shared" si="1"/>
        <v>Clothing</v>
      </c>
    </row>
    <row r="9" spans="1:8" ht="30" x14ac:dyDescent="0.25">
      <c r="A9" s="2" t="s">
        <v>55</v>
      </c>
      <c r="B9" s="2" t="s">
        <v>22</v>
      </c>
      <c r="C9" s="2" t="s">
        <v>19</v>
      </c>
      <c r="E9" s="2" t="s">
        <v>54</v>
      </c>
      <c r="F9" s="2">
        <v>9800</v>
      </c>
      <c r="G9" s="2" t="str">
        <f t="shared" si="0"/>
        <v>Michael Brown</v>
      </c>
      <c r="H9" t="str">
        <f t="shared" si="1"/>
        <v>Appliances</v>
      </c>
    </row>
    <row r="11" spans="1:8" x14ac:dyDescent="0.25">
      <c r="A11" s="11" t="s">
        <v>83</v>
      </c>
      <c r="B11" s="11"/>
      <c r="C11" s="11"/>
      <c r="D11" s="11"/>
      <c r="E11" s="11"/>
      <c r="F11" s="11"/>
      <c r="G11" s="7"/>
    </row>
  </sheetData>
  <mergeCells count="1">
    <mergeCell ref="A11:F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7D8AE-1B93-4844-8BB3-909ADE2F482F}">
  <dimension ref="A1:M20"/>
  <sheetViews>
    <sheetView tabSelected="1" workbookViewId="0">
      <selection activeCell="C17" sqref="C17"/>
    </sheetView>
  </sheetViews>
  <sheetFormatPr defaultRowHeight="15" x14ac:dyDescent="0.25"/>
  <cols>
    <col min="1" max="1" width="15.7109375" customWidth="1"/>
    <col min="2" max="2" width="15.5703125" customWidth="1"/>
    <col min="3" max="3" width="21.140625" customWidth="1"/>
    <col min="4" max="4" width="16.7109375" customWidth="1"/>
    <col min="5" max="5" width="9.140625" customWidth="1"/>
  </cols>
  <sheetData>
    <row r="1" spans="1:13" ht="30" x14ac:dyDescent="0.25">
      <c r="A1" s="1" t="s">
        <v>0</v>
      </c>
      <c r="B1" s="1" t="s">
        <v>58</v>
      </c>
      <c r="C1" s="1" t="s">
        <v>2</v>
      </c>
      <c r="D1" s="1" t="s">
        <v>59</v>
      </c>
      <c r="E1" s="1" t="s">
        <v>60</v>
      </c>
    </row>
    <row r="2" spans="1:13" x14ac:dyDescent="0.25">
      <c r="A2" s="8">
        <v>1001</v>
      </c>
      <c r="B2" s="2" t="s">
        <v>9</v>
      </c>
      <c r="C2" s="2" t="s">
        <v>10</v>
      </c>
      <c r="D2" s="2" t="s">
        <v>61</v>
      </c>
      <c r="E2" s="8">
        <v>12500</v>
      </c>
      <c r="I2" s="11" t="s">
        <v>84</v>
      </c>
      <c r="J2" s="11"/>
      <c r="K2" s="11"/>
    </row>
    <row r="3" spans="1:13" x14ac:dyDescent="0.25">
      <c r="A3" s="8">
        <v>1002</v>
      </c>
      <c r="B3" s="2" t="s">
        <v>12</v>
      </c>
      <c r="C3" s="2" t="s">
        <v>13</v>
      </c>
      <c r="D3" s="2" t="s">
        <v>62</v>
      </c>
      <c r="E3" s="8">
        <v>8700</v>
      </c>
    </row>
    <row r="4" spans="1:13" x14ac:dyDescent="0.25">
      <c r="A4" s="8">
        <v>1003</v>
      </c>
      <c r="B4" s="2" t="s">
        <v>15</v>
      </c>
      <c r="C4" s="2" t="s">
        <v>24</v>
      </c>
      <c r="D4" s="2" t="s">
        <v>63</v>
      </c>
      <c r="E4" s="8">
        <v>9400</v>
      </c>
    </row>
    <row r="5" spans="1:13" x14ac:dyDescent="0.25">
      <c r="A5" s="8">
        <v>1004</v>
      </c>
      <c r="B5" s="2" t="s">
        <v>17</v>
      </c>
      <c r="C5" s="2" t="s">
        <v>10</v>
      </c>
      <c r="D5" s="2" t="s">
        <v>64</v>
      </c>
      <c r="E5" s="8">
        <v>11200</v>
      </c>
    </row>
    <row r="6" spans="1:13" x14ac:dyDescent="0.25">
      <c r="A6" s="8">
        <v>1005</v>
      </c>
      <c r="B6" s="2" t="s">
        <v>18</v>
      </c>
      <c r="C6" s="2" t="s">
        <v>19</v>
      </c>
      <c r="D6" s="2" t="s">
        <v>62</v>
      </c>
      <c r="E6" s="8">
        <v>7600</v>
      </c>
    </row>
    <row r="7" spans="1:13" x14ac:dyDescent="0.25">
      <c r="A7" s="8">
        <v>1006</v>
      </c>
      <c r="B7" s="2" t="s">
        <v>20</v>
      </c>
      <c r="C7" s="2" t="s">
        <v>13</v>
      </c>
      <c r="D7" s="2" t="s">
        <v>61</v>
      </c>
      <c r="E7" s="8">
        <v>13200</v>
      </c>
    </row>
    <row r="8" spans="1:13" x14ac:dyDescent="0.25">
      <c r="A8" s="8">
        <v>1007</v>
      </c>
      <c r="B8" s="2" t="s">
        <v>21</v>
      </c>
      <c r="C8" s="2" t="s">
        <v>24</v>
      </c>
      <c r="D8" s="2" t="s">
        <v>63</v>
      </c>
      <c r="E8" s="8">
        <v>9800</v>
      </c>
    </row>
    <row r="9" spans="1:13" x14ac:dyDescent="0.25">
      <c r="A9" s="8">
        <v>1008</v>
      </c>
      <c r="B9" s="2" t="s">
        <v>22</v>
      </c>
      <c r="C9" s="2" t="s">
        <v>19</v>
      </c>
      <c r="D9" s="2" t="s">
        <v>64</v>
      </c>
      <c r="E9" s="8">
        <v>10400</v>
      </c>
    </row>
    <row r="10" spans="1:13" x14ac:dyDescent="0.25">
      <c r="A10" s="8">
        <v>1009</v>
      </c>
      <c r="B10" s="2" t="s">
        <v>65</v>
      </c>
      <c r="C10" s="2" t="s">
        <v>10</v>
      </c>
      <c r="D10" s="2" t="s">
        <v>61</v>
      </c>
      <c r="E10" s="8">
        <v>14500</v>
      </c>
    </row>
    <row r="11" spans="1:13" x14ac:dyDescent="0.25">
      <c r="A11" s="8">
        <v>1010</v>
      </c>
      <c r="B11" s="2" t="s">
        <v>66</v>
      </c>
      <c r="C11" s="2" t="s">
        <v>13</v>
      </c>
      <c r="D11" s="2" t="s">
        <v>62</v>
      </c>
      <c r="E11" s="8">
        <v>9100</v>
      </c>
    </row>
    <row r="16" spans="1:13" x14ac:dyDescent="0.25">
      <c r="I16" s="12" t="s">
        <v>85</v>
      </c>
      <c r="J16" s="13"/>
      <c r="K16" s="13"/>
      <c r="L16" s="13"/>
      <c r="M16" s="13"/>
    </row>
    <row r="17" spans="9:13" x14ac:dyDescent="0.25">
      <c r="I17" s="13"/>
      <c r="J17" s="13"/>
      <c r="K17" s="13"/>
      <c r="L17" s="13"/>
      <c r="M17" s="13"/>
    </row>
    <row r="18" spans="9:13" x14ac:dyDescent="0.25">
      <c r="I18" s="13"/>
      <c r="J18" s="13"/>
      <c r="K18" s="13"/>
      <c r="L18" s="13"/>
      <c r="M18" s="13"/>
    </row>
    <row r="19" spans="9:13" x14ac:dyDescent="0.25">
      <c r="I19" s="13"/>
      <c r="J19" s="13"/>
      <c r="K19" s="13"/>
      <c r="L19" s="13"/>
      <c r="M19" s="13"/>
    </row>
    <row r="20" spans="9:13" x14ac:dyDescent="0.25">
      <c r="I20" s="13"/>
      <c r="J20" s="13"/>
      <c r="K20" s="13"/>
      <c r="L20" s="13"/>
      <c r="M20" s="13"/>
    </row>
  </sheetData>
  <autoFilter ref="A1:E11" xr:uid="{C547D8AE-1B93-4844-8BB3-909ADE2F482F}"/>
  <mergeCells count="2">
    <mergeCell ref="I2:K2"/>
    <mergeCell ref="I16:M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4.B.1</vt:lpstr>
      <vt:lpstr>4.B.2</vt:lpstr>
      <vt:lpstr>4.B.3</vt:lpstr>
      <vt:lpstr>4.B.4</vt:lpstr>
      <vt:lpstr>4.B.6</vt:lpstr>
      <vt:lpstr>4.B.11</vt:lpstr>
      <vt:lpstr>4.B.11B</vt:lpstr>
      <vt:lpstr>4.B.12</vt:lpstr>
      <vt:lpstr>4.B.14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Deodat P. Sharma</dc:creator>
  <cp:lastModifiedBy>Green-Holloway, Patrick</cp:lastModifiedBy>
  <dcterms:created xsi:type="dcterms:W3CDTF">2026-04-08T14:37:38Z</dcterms:created>
  <dcterms:modified xsi:type="dcterms:W3CDTF">2026-04-09T18:46:41Z</dcterms:modified>
</cp:coreProperties>
</file>